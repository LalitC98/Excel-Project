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codeName="ThisWorkbook" defaultThemeVersion="202300"/>
  <mc:AlternateContent xmlns:mc="http://schemas.openxmlformats.org/markup-compatibility/2006">
    <mc:Choice Requires="x15">
      <x15ac:absPath xmlns:x15ac="http://schemas.microsoft.com/office/spreadsheetml/2010/11/ac" url="https://d.docs.live.net/58901c5b0c43be41/Learning/CoachX/Excel/"/>
    </mc:Choice>
  </mc:AlternateContent>
  <xr:revisionPtr revIDLastSave="1099" documentId="8_{A1EC1252-C6BB-4E16-A10D-EEB9A2FDCCF7}" xr6:coauthVersionLast="47" xr6:coauthVersionMax="47" xr10:uidLastSave="{E6AE9ECE-4626-4A1D-8964-18E74205C774}"/>
  <bookViews>
    <workbookView xWindow="-120" yWindow="-120" windowWidth="29040" windowHeight="15720" xr2:uid="{F77977B9-F0E5-40EC-B94C-F887242CB1F3}"/>
  </bookViews>
  <sheets>
    <sheet name="Form" sheetId="1" r:id="rId1"/>
    <sheet name="Data" sheetId="2" r:id="rId2"/>
    <sheet name="Mail" sheetId="3" r:id="rId3"/>
    <sheet name="VBA Code" sheetId="4" r:id="rId4"/>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34" i="1" l="1"/>
  <c r="L5" i="1"/>
  <c r="L13" i="1" s="1"/>
  <c r="J7" i="1"/>
  <c r="A34" i="1"/>
  <c r="C34" i="1"/>
  <c r="J34" i="1"/>
  <c r="I34" i="1"/>
  <c r="H34" i="1"/>
  <c r="G34" i="1"/>
  <c r="F34" i="1"/>
  <c r="E34" i="1"/>
  <c r="D34" i="1"/>
  <c r="B34" i="1"/>
  <c r="J5" i="1"/>
  <c r="J3" i="1"/>
  <c r="E17" i="1"/>
  <c r="E15" i="1"/>
  <c r="E13" i="1"/>
  <c r="E11" i="1"/>
  <c r="E9" i="1"/>
  <c r="E5" i="1"/>
  <c r="E3" i="1"/>
  <c r="L17" i="1" l="1"/>
</calcChain>
</file>

<file path=xl/sharedStrings.xml><?xml version="1.0" encoding="utf-8"?>
<sst xmlns="http://schemas.openxmlformats.org/spreadsheetml/2006/main" count="355" uniqueCount="103">
  <si>
    <t>Student Name</t>
  </si>
  <si>
    <t>Fathers Name</t>
  </si>
  <si>
    <t>Gender</t>
  </si>
  <si>
    <t>Address</t>
  </si>
  <si>
    <t>City</t>
  </si>
  <si>
    <t>State</t>
  </si>
  <si>
    <t>Pin</t>
  </si>
  <si>
    <t>Contact</t>
  </si>
  <si>
    <t>Admission Date</t>
  </si>
  <si>
    <t>Course Name</t>
  </si>
  <si>
    <t>Male</t>
  </si>
  <si>
    <t>Lalit Chaudhari</t>
  </si>
  <si>
    <t>Ramesh Chaudhari</t>
  </si>
  <si>
    <t>Nashik</t>
  </si>
  <si>
    <t>Maharashtra</t>
  </si>
  <si>
    <t>:</t>
  </si>
  <si>
    <t>*</t>
  </si>
  <si>
    <t>BA</t>
  </si>
  <si>
    <t>E-mail ID</t>
  </si>
  <si>
    <t>Shramil Nagar, Satpur, Nashik</t>
  </si>
  <si>
    <t>lrchaudhari49@gmail.com</t>
  </si>
  <si>
    <t xml:space="preserve">1) All fees paid upon admission are non-refundable under any
     circumstances.
2) Any violation of the established rules and regulations will result 
     in the immediate cancellation of admission without any refund.
3) For any issues or grievances, students can contact the
    administration office. A formal procedure is in place to address
    and resolve complaints.
</t>
  </si>
  <si>
    <t>Satpur, Nashik</t>
  </si>
  <si>
    <t>Ramesh Chaiudhari</t>
  </si>
  <si>
    <t>Shramik Nagar, Satpur, Nashik</t>
  </si>
  <si>
    <t xml:space="preserve">E-mail ID: </t>
  </si>
  <si>
    <t>Yogesh chaudhari</t>
  </si>
  <si>
    <t>IT</t>
  </si>
  <si>
    <t>Shramik, Nagar, Satpur, Nashik</t>
  </si>
  <si>
    <t>Vicky Chaudhari</t>
  </si>
  <si>
    <t>Ramesh Chjaudhari</t>
  </si>
  <si>
    <t>a</t>
  </si>
  <si>
    <t>Pune</t>
  </si>
  <si>
    <t>Dehli</t>
  </si>
  <si>
    <t>UP</t>
  </si>
  <si>
    <t>lalit</t>
  </si>
  <si>
    <t>Gujarat</t>
  </si>
  <si>
    <t>Mumbai</t>
  </si>
  <si>
    <t>Ramesh</t>
  </si>
  <si>
    <t>Sub Clear()</t>
  </si>
  <si>
    <t>Application.ScreenUpdating = False</t>
  </si>
  <si>
    <t>Sheets("Form").Activate</t>
  </si>
  <si>
    <t>Sheets("Form").Range("D3,D5,D9,D11,D13,D15,D17,I3,I5,L9").Select</t>
  </si>
  <si>
    <t>Selection.ClearContents</t>
  </si>
  <si>
    <t>Sheets("Form").Range("D3").Select</t>
  </si>
  <si>
    <t>Application.CutCopyMode = False</t>
  </si>
  <si>
    <t>End Sub</t>
  </si>
  <si>
    <t>Sub MyMacro()</t>
  </si>
  <si>
    <t xml:space="preserve">    ' Your macro code here</t>
  </si>
  <si>
    <t xml:space="preserve">    MsgBox "Updated"</t>
  </si>
  <si>
    <t>Sub Submit_Form()</t>
  </si>
  <si>
    <t xml:space="preserve">    Dim condition As Boolean</t>
  </si>
  <si>
    <t xml:space="preserve">    condition = False ' Change this to your actual condition</t>
  </si>
  <si>
    <t xml:space="preserve">    </t>
  </si>
  <si>
    <t xml:space="preserve">    ' Example condition: Check if cell A1 equals "Run"</t>
  </si>
  <si>
    <t xml:space="preserve">    If Worksheets("Form").Range("L17").Value = "True" Then</t>
  </si>
  <si>
    <t xml:space="preserve">        condition = True</t>
  </si>
  <si>
    <t xml:space="preserve">    End If</t>
  </si>
  <si>
    <t xml:space="preserve">    If condition Then</t>
  </si>
  <si>
    <t xml:space="preserve">        Call MyMacro</t>
  </si>
  <si>
    <t xml:space="preserve">        Sheets("Form").Activate</t>
  </si>
  <si>
    <t>'Sheets("Form").Range ("L17")</t>
  </si>
  <si>
    <t>'conditionMet = (conditionRange.Value = "Run")</t>
  </si>
  <si>
    <t xml:space="preserve"> </t>
  </si>
  <si>
    <t>Sheets("Form").Range("a34:k34").Copy</t>
  </si>
  <si>
    <t>Sheets("Data").Range("A1048576").End(xlUp).Offset(1, 0).PasteSpecial Paste:=xlPasteValues</t>
  </si>
  <si>
    <t>'Sheets("Form").Range("D3,D5,D9,D11,D13,D15,D17,I3,I5,L9").Select</t>
  </si>
  <si>
    <t>'Selection.ClearContents</t>
  </si>
  <si>
    <t>'Sheets("Form").Range("D3").Select</t>
  </si>
  <si>
    <t>Sheets("Data").Range("I1048576").End(xlUp).NumberFormat = "mm/dd/yyyy"</t>
  </si>
  <si>
    <t>SendEmail</t>
  </si>
  <si>
    <t xml:space="preserve">    Sheets("Form").Range("D3,D5,D9,D11,D13,D15,D17,I3,I5,I7,L9").Select</t>
  </si>
  <si>
    <t xml:space="preserve">    Selection.ClearContents</t>
  </si>
  <si>
    <t xml:space="preserve">    Sheets("Form").Range("D3").Select</t>
  </si>
  <si>
    <t xml:space="preserve">    Else</t>
  </si>
  <si>
    <t xml:space="preserve">        MsgBox "Please enter Mandatory fields"</t>
  </si>
  <si>
    <t>Sub SendEmail()</t>
  </si>
  <si>
    <t xml:space="preserve">    Dim OutApp As Object</t>
  </si>
  <si>
    <t xml:space="preserve">    Dim OutMail As Object</t>
  </si>
  <si>
    <t xml:space="preserve">    Dim mailID As String</t>
  </si>
  <si>
    <t xml:space="preserve">    ' Get the email address from the sheet</t>
  </si>
  <si>
    <t xml:space="preserve">    mailID = Trim(Worksheets("Form").Range("i7").Value)</t>
  </si>
  <si>
    <t xml:space="preserve"> ' Check if mailID is not empty</t>
  </si>
  <si>
    <t xml:space="preserve">    If mailID = "" Then</t>
  </si>
  <si>
    <t xml:space="preserve">        MsgBox "Email address is empty. Please enter a valid email address in cell I7."</t>
  </si>
  <si>
    <t xml:space="preserve">        Exit Sub</t>
  </si>
  <si>
    <t xml:space="preserve">    ' Display the email address for debugging</t>
  </si>
  <si>
    <t xml:space="preserve">    MsgBox "Sending email to: " &amp; mailID</t>
  </si>
  <si>
    <t xml:space="preserve">    ' Create Outlook object</t>
  </si>
  <si>
    <t xml:space="preserve">    On Error Resume Next</t>
  </si>
  <si>
    <t xml:space="preserve">    Set OutApp = CreateObject("Outlook.Application")</t>
  </si>
  <si>
    <t xml:space="preserve">    On Error GoTo 0</t>
  </si>
  <si>
    <t xml:space="preserve">    If OutApp Is Nothing Then</t>
  </si>
  <si>
    <t xml:space="preserve">        MsgBox "Outlook is not available. Please make sure Outlook is installed and configured correctly."</t>
  </si>
  <si>
    <t xml:space="preserve">    Set OutMail = OutApp.CreateItem(0)</t>
  </si>
  <si>
    <t xml:space="preserve">    With OutMail</t>
  </si>
  <si>
    <t xml:space="preserve">        .To = mailID</t>
  </si>
  <si>
    <t xml:space="preserve">        .Subject = "Automated Email from VBA"</t>
  </si>
  <si>
    <t xml:space="preserve">        .Body = "This is a test email sent from Excel VBA."</t>
  </si>
  <si>
    <t xml:space="preserve">        .Send ' Use .Display if you want to see the email before sending</t>
  </si>
  <si>
    <t xml:space="preserve">    End With</t>
  </si>
  <si>
    <t xml:space="preserve">    If Err.Number &lt;&gt; 0 Then</t>
  </si>
  <si>
    <t xml:space="preserve">        MsgBox "An error occurred while sending the email: " &amp; Err.Description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</si>
</sst>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yy"/>
  </numFmts>
  <fonts count="6" x14ac:knownFonts="1">
    <font>
      <sz val="11"/>
      <color theme="1"/>
      <name val="Aptos Narrow"/>
      <family val="2"/>
      <scheme val="minor"/>
    </font>
    <font>
      <b/>
      <sz val="11"/>
      <color theme="1"/>
      <name val="Aptos Narrow"/>
      <family val="2"/>
      <scheme val="minor"/>
    </font>
    <font>
      <b/>
      <sz val="11"/>
      <color rgb="FFFF0000"/>
      <name val="Aptos Narrow"/>
      <family val="2"/>
      <scheme val="minor"/>
    </font>
    <font>
      <sz val="8"/>
      <color rgb="FF000000"/>
      <name val="Segoe UI"/>
      <family val="2"/>
    </font>
    <font>
      <sz val="11"/>
      <color rgb="FF000000"/>
      <name val="Aptos Narrow"/>
      <family val="2"/>
    </font>
    <font>
      <u/>
      <sz val="11"/>
      <color theme="10"/>
      <name val="Aptos Narrow"/>
      <family val="2"/>
      <scheme val="minor"/>
    </font>
  </fonts>
  <fills count="6">
    <fill>
      <patternFill patternType="none"/>
    </fill>
    <fill>
      <patternFill patternType="gray125"/>
    </fill>
    <fill>
      <patternFill patternType="solid">
        <fgColor theme="3" tint="0.249977111117893"/>
        <bgColor indexed="64"/>
      </patternFill>
    </fill>
    <fill>
      <patternFill patternType="solid">
        <fgColor theme="3" tint="0.749992370372631"/>
        <bgColor indexed="64"/>
      </patternFill>
    </fill>
    <fill>
      <patternFill patternType="solid">
        <fgColor theme="0"/>
        <bgColor indexed="64"/>
      </patternFill>
    </fill>
    <fill>
      <patternFill patternType="solid">
        <fgColor rgb="FF00B0F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5" fillId="0" borderId="0" applyNumberFormat="0" applyFill="0" applyBorder="0" applyAlignment="0" applyProtection="0"/>
  </cellStyleXfs>
  <cellXfs count="22">
    <xf numFmtId="0" fontId="0" fillId="0" borderId="0" xfId="0"/>
    <xf numFmtId="0" fontId="2" fillId="0" borderId="0" xfId="0" applyFont="1"/>
    <xf numFmtId="0" fontId="2" fillId="0" borderId="0" xfId="0" applyFont="1" applyAlignment="1">
      <alignment horizontal="left" vertical="center"/>
    </xf>
    <xf numFmtId="0" fontId="1" fillId="0" borderId="0" xfId="0" applyFont="1" applyAlignment="1">
      <alignment horizontal="center" vertical="center"/>
    </xf>
    <xf numFmtId="0" fontId="1" fillId="0" borderId="0" xfId="0" applyFont="1" applyAlignment="1">
      <alignment horizontal="left" vertical="center"/>
    </xf>
    <xf numFmtId="0" fontId="0" fillId="2" borderId="0" xfId="0" applyFill="1"/>
    <xf numFmtId="14" fontId="0" fillId="0" borderId="0" xfId="0" applyNumberFormat="1"/>
    <xf numFmtId="0" fontId="2" fillId="0" borderId="0" xfId="0" applyFont="1" applyAlignment="1">
      <alignment horizontal="right"/>
    </xf>
    <xf numFmtId="0" fontId="2" fillId="0" borderId="0" xfId="0" applyFont="1" applyAlignment="1">
      <alignment horizontal="right" vertical="top"/>
    </xf>
    <xf numFmtId="0" fontId="1" fillId="3" borderId="1" xfId="0" applyFont="1" applyFill="1" applyBorder="1" applyAlignment="1">
      <alignment horizontal="center" vertical="center"/>
    </xf>
    <xf numFmtId="0" fontId="0" fillId="0" borderId="1" xfId="0" applyBorder="1"/>
    <xf numFmtId="14" fontId="0" fillId="0" borderId="1" xfId="0" applyNumberFormat="1" applyBorder="1"/>
    <xf numFmtId="0" fontId="0" fillId="0" borderId="0" xfId="0" applyAlignment="1">
      <alignment horizontal="left" vertical="center"/>
    </xf>
    <xf numFmtId="14" fontId="0" fillId="0" borderId="0" xfId="0" applyNumberFormat="1" applyAlignment="1">
      <alignment horizontal="left" vertical="center"/>
    </xf>
    <xf numFmtId="0" fontId="5" fillId="0" borderId="0" xfId="1" applyAlignment="1">
      <alignment horizontal="left" vertical="center"/>
    </xf>
    <xf numFmtId="0" fontId="0" fillId="0" borderId="0" xfId="0" applyAlignment="1">
      <alignment horizontal="left"/>
    </xf>
    <xf numFmtId="0" fontId="5" fillId="0" borderId="0" xfId="1"/>
    <xf numFmtId="164" fontId="0" fillId="0" borderId="0" xfId="0" applyNumberFormat="1"/>
    <xf numFmtId="0" fontId="0" fillId="4" borderId="0" xfId="0" applyFill="1"/>
    <xf numFmtId="0" fontId="0" fillId="5" borderId="0" xfId="0" applyFill="1"/>
    <xf numFmtId="0" fontId="0" fillId="0" borderId="0" xfId="0" applyAlignment="1">
      <alignment horizontal="left" vertical="top" wrapText="1"/>
    </xf>
    <xf numFmtId="0" fontId="0" fillId="0" borderId="0" xfId="0" applyAlignment="1">
      <alignment horizontal="center" wrapText="1"/>
    </xf>
  </cellXfs>
  <cellStyles count="2">
    <cellStyle name="Hyperlink" xfId="1" builtinId="8"/>
    <cellStyle name="Normal" xfId="0" builtinId="0"/>
  </cellStyles>
  <dxfs count="3">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Radio" checked="Checked" firstButton="1" fmlaLink="$L$7" lockText="1" noThreeD="1"/>
</file>

<file path=xl/ctrlProps/ctrlProp2.xml><?xml version="1.0" encoding="utf-8"?>
<formControlPr xmlns="http://schemas.microsoft.com/office/spreadsheetml/2009/9/main" objectType="Radio" lockText="1" noThreeD="1"/>
</file>

<file path=xl/ctrlProps/ctrlProp3.xml><?xml version="1.0" encoding="utf-8"?>
<formControlPr xmlns="http://schemas.microsoft.com/office/spreadsheetml/2009/9/main" objectType="CheckBox" fmlaLink="$L$9" lockText="1" noThreeD="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171450</xdr:colOff>
          <xdr:row>6</xdr:row>
          <xdr:rowOff>104775</xdr:rowOff>
        </xdr:from>
        <xdr:to>
          <xdr:col>3</xdr:col>
          <xdr:colOff>1009650</xdr:colOff>
          <xdr:row>6</xdr:row>
          <xdr:rowOff>323850</xdr:rowOff>
        </xdr:to>
        <xdr:sp macro="" textlink="">
          <xdr:nvSpPr>
            <xdr:cNvPr id="1025" name="Option 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Male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1285875</xdr:colOff>
          <xdr:row>6</xdr:row>
          <xdr:rowOff>104775</xdr:rowOff>
        </xdr:from>
        <xdr:to>
          <xdr:col>3</xdr:col>
          <xdr:colOff>2124075</xdr:colOff>
          <xdr:row>6</xdr:row>
          <xdr:rowOff>323850</xdr:rowOff>
        </xdr:to>
        <xdr:sp macro="" textlink="">
          <xdr:nvSpPr>
            <xdr:cNvPr id="1026" name="Option 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IN" sz="800" b="0" i="0" u="none" strike="noStrike" baseline="0">
                  <a:solidFill>
                    <a:srgbClr val="000000"/>
                  </a:solidFill>
                  <a:latin typeface="Segoe UI"/>
                  <a:cs typeface="Segoe UI"/>
                </a:rPr>
                <a:t>Female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8</xdr:row>
          <xdr:rowOff>47625</xdr:rowOff>
        </xdr:from>
        <xdr:to>
          <xdr:col>8</xdr:col>
          <xdr:colOff>304800</xdr:colOff>
          <xdr:row>8</xdr:row>
          <xdr:rowOff>352425</xdr:rowOff>
        </xdr:to>
        <xdr:sp macro="" textlink="">
          <xdr:nvSpPr>
            <xdr:cNvPr id="1027" name="Check Box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IN" sz="1100" b="0" i="0" u="none" strike="noStrike" baseline="0">
                  <a:solidFill>
                    <a:srgbClr val="000000"/>
                  </a:solidFill>
                  <a:latin typeface="Aptos Narrow"/>
                </a:rPr>
                <a:t> Note:</a:t>
              </a:r>
            </a:p>
          </xdr:txBody>
        </xdr:sp>
        <xdr:clientData/>
      </xdr:twoCellAnchor>
    </mc:Choice>
    <mc:Fallback/>
  </mc:AlternateContent>
  <xdr:twoCellAnchor>
    <xdr:from>
      <xdr:col>3</xdr:col>
      <xdr:colOff>1733549</xdr:colOff>
      <xdr:row>20</xdr:row>
      <xdr:rowOff>142874</xdr:rowOff>
    </xdr:from>
    <xdr:to>
      <xdr:col>4</xdr:col>
      <xdr:colOff>266699</xdr:colOff>
      <xdr:row>23</xdr:row>
      <xdr:rowOff>19049</xdr:rowOff>
    </xdr:to>
    <xdr:sp macro="[0]!_xludf.Clear" textlink="">
      <xdr:nvSpPr>
        <xdr:cNvPr id="3" name="Rectangle: Rounded Corners 2">
          <a:extLst>
            <a:ext uri="{FF2B5EF4-FFF2-40B4-BE49-F238E27FC236}">
              <a16:creationId xmlns:a16="http://schemas.microsoft.com/office/drawing/2014/main" id="{00000000-0008-0000-0000-000003000000}"/>
            </a:ext>
          </a:extLst>
        </xdr:cNvPr>
        <xdr:cNvSpPr/>
      </xdr:nvSpPr>
      <xdr:spPr>
        <a:xfrm>
          <a:off x="3419474" y="4733924"/>
          <a:ext cx="1381125" cy="447675"/>
        </a:xfrm>
        <a:prstGeom prst="roundRect">
          <a:avLst/>
        </a:prstGeom>
        <a:solidFill>
          <a:schemeClr val="accent5">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b="1"/>
            <a:t>Clear</a:t>
          </a:r>
        </a:p>
      </xdr:txBody>
    </xdr:sp>
    <xdr:clientData/>
  </xdr:twoCellAnchor>
  <xdr:twoCellAnchor>
    <xdr:from>
      <xdr:col>5</xdr:col>
      <xdr:colOff>600075</xdr:colOff>
      <xdr:row>20</xdr:row>
      <xdr:rowOff>133350</xdr:rowOff>
    </xdr:from>
    <xdr:to>
      <xdr:col>8</xdr:col>
      <xdr:colOff>190500</xdr:colOff>
      <xdr:row>23</xdr:row>
      <xdr:rowOff>9525</xdr:rowOff>
    </xdr:to>
    <xdr:sp macro="[0]!Submit_Form" textlink="">
      <xdr:nvSpPr>
        <xdr:cNvPr id="4" name="Rectangle: Rounded Corners 3">
          <a:extLst>
            <a:ext uri="{FF2B5EF4-FFF2-40B4-BE49-F238E27FC236}">
              <a16:creationId xmlns:a16="http://schemas.microsoft.com/office/drawing/2014/main" id="{00000000-0008-0000-0000-000004000000}"/>
            </a:ext>
          </a:extLst>
        </xdr:cNvPr>
        <xdr:cNvSpPr/>
      </xdr:nvSpPr>
      <xdr:spPr>
        <a:xfrm>
          <a:off x="5572125" y="4724400"/>
          <a:ext cx="1381125" cy="447675"/>
        </a:xfrm>
        <a:prstGeom prst="roundRect">
          <a:avLst/>
        </a:prstGeom>
        <a:solidFill>
          <a:schemeClr val="accent5">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400" b="1"/>
            <a:t>Submit</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314325</xdr:colOff>
          <xdr:row>4</xdr:row>
          <xdr:rowOff>104775</xdr:rowOff>
        </xdr:from>
        <xdr:to>
          <xdr:col>2</xdr:col>
          <xdr:colOff>1809750</xdr:colOff>
          <xdr:row>6</xdr:row>
          <xdr:rowOff>123825</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IN" sz="1100" b="0" i="0" u="none" strike="noStrike" baseline="0">
                  <a:solidFill>
                    <a:srgbClr val="000000"/>
                  </a:solidFill>
                  <a:latin typeface="Aptos Narrow"/>
                </a:rPr>
                <a:t>Send Mail</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DED9C9-50E2-4208-AA1D-2B2F0218B1B3}">
  <sheetPr codeName="Sheet1"/>
  <dimension ref="A1:L34"/>
  <sheetViews>
    <sheetView showGridLines="0" tabSelected="1" workbookViewId="0">
      <selection activeCell="I23" sqref="I23"/>
    </sheetView>
  </sheetViews>
  <sheetFormatPr defaultRowHeight="15" x14ac:dyDescent="0.25"/>
  <cols>
    <col min="2" max="2" width="13.42578125" bestFit="1" customWidth="1"/>
    <col min="3" max="3" width="2.7109375" customWidth="1"/>
    <col min="4" max="4" width="42.7109375" customWidth="1"/>
    <col min="5" max="5" width="6.5703125" customWidth="1"/>
    <col min="7" max="7" width="15" bestFit="1" customWidth="1"/>
    <col min="8" max="8" width="2.7109375" customWidth="1"/>
    <col min="9" max="9" width="42.7109375" customWidth="1"/>
    <col min="11" max="11" width="6.85546875" customWidth="1"/>
    <col min="12" max="12" width="0" hidden="1" customWidth="1"/>
  </cols>
  <sheetData>
    <row r="1" spans="2:12" x14ac:dyDescent="0.25">
      <c r="K1" s="19"/>
    </row>
    <row r="2" spans="2:12" x14ac:dyDescent="0.25">
      <c r="K2" s="19"/>
    </row>
    <row r="3" spans="2:12" ht="29.25" customHeight="1" x14ac:dyDescent="0.25">
      <c r="B3" s="9" t="s">
        <v>0</v>
      </c>
      <c r="C3" s="4" t="s">
        <v>15</v>
      </c>
      <c r="D3" s="12"/>
      <c r="E3" s="2" t="str">
        <f>IF(D3="","*",1)</f>
        <v>*</v>
      </c>
      <c r="G3" s="9" t="s">
        <v>8</v>
      </c>
      <c r="H3" s="4" t="s">
        <v>15</v>
      </c>
      <c r="I3" s="13"/>
      <c r="J3" s="1" t="str">
        <f>IF(I3="","*",1)</f>
        <v>*</v>
      </c>
      <c r="K3" s="19"/>
    </row>
    <row r="4" spans="2:12" ht="7.5" customHeight="1" x14ac:dyDescent="0.25">
      <c r="I4" s="12"/>
      <c r="K4" s="19"/>
    </row>
    <row r="5" spans="2:12" ht="29.25" customHeight="1" x14ac:dyDescent="0.25">
      <c r="B5" s="9" t="s">
        <v>1</v>
      </c>
      <c r="C5" s="4" t="s">
        <v>15</v>
      </c>
      <c r="D5" s="12"/>
      <c r="E5" s="1" t="str">
        <f>IF(D5="","*",1)</f>
        <v>*</v>
      </c>
      <c r="G5" s="9" t="s">
        <v>9</v>
      </c>
      <c r="H5" s="4" t="s">
        <v>15</v>
      </c>
      <c r="I5" s="12"/>
      <c r="J5" s="1" t="str">
        <f>IF(I5="","*",1)</f>
        <v>*</v>
      </c>
      <c r="K5" s="19"/>
      <c r="L5" s="12">
        <f>COUNTA(D3,D5,D9,D11,D13,D15,D17,I3,I5,I7)</f>
        <v>0</v>
      </c>
    </row>
    <row r="6" spans="2:12" ht="7.5" customHeight="1" x14ac:dyDescent="0.25">
      <c r="K6" s="19"/>
      <c r="L6" s="15"/>
    </row>
    <row r="7" spans="2:12" ht="29.25" customHeight="1" x14ac:dyDescent="0.25">
      <c r="B7" s="9" t="s">
        <v>2</v>
      </c>
      <c r="C7" s="4" t="s">
        <v>15</v>
      </c>
      <c r="G7" s="9" t="s">
        <v>18</v>
      </c>
      <c r="H7" s="4" t="s">
        <v>15</v>
      </c>
      <c r="I7" s="16"/>
      <c r="J7" s="1" t="str">
        <f>IF(I7="","*",1)</f>
        <v>*</v>
      </c>
      <c r="K7" s="19"/>
      <c r="L7" s="12">
        <v>1</v>
      </c>
    </row>
    <row r="8" spans="2:12" ht="7.5" customHeight="1" x14ac:dyDescent="0.25">
      <c r="D8" s="5"/>
      <c r="E8" s="1"/>
      <c r="K8" s="19"/>
      <c r="L8" s="15"/>
    </row>
    <row r="9" spans="2:12" ht="29.25" customHeight="1" x14ac:dyDescent="0.25">
      <c r="B9" s="9" t="s">
        <v>3</v>
      </c>
      <c r="C9" s="4" t="s">
        <v>15</v>
      </c>
      <c r="D9" s="12"/>
      <c r="E9" s="1" t="str">
        <f>IF(D9="","*",1)</f>
        <v>*</v>
      </c>
      <c r="F9" s="8" t="s">
        <v>16</v>
      </c>
      <c r="G9" s="4"/>
      <c r="H9" s="3"/>
      <c r="I9" s="7"/>
      <c r="K9" s="19"/>
      <c r="L9" s="15"/>
    </row>
    <row r="10" spans="2:12" ht="7.5" customHeight="1" x14ac:dyDescent="0.25">
      <c r="G10" s="20" t="s">
        <v>21</v>
      </c>
      <c r="H10" s="20"/>
      <c r="I10" s="20"/>
      <c r="K10" s="19"/>
      <c r="L10" s="15"/>
    </row>
    <row r="11" spans="2:12" ht="29.25" customHeight="1" x14ac:dyDescent="0.25">
      <c r="B11" s="9" t="s">
        <v>4</v>
      </c>
      <c r="C11" s="4" t="s">
        <v>15</v>
      </c>
      <c r="D11" s="12"/>
      <c r="E11" s="1" t="str">
        <f>IF(D11="","*",1)</f>
        <v>*</v>
      </c>
      <c r="G11" s="20"/>
      <c r="H11" s="20"/>
      <c r="I11" s="20"/>
      <c r="K11" s="19"/>
      <c r="L11" s="15"/>
    </row>
    <row r="12" spans="2:12" ht="7.5" customHeight="1" x14ac:dyDescent="0.25">
      <c r="G12" s="20"/>
      <c r="H12" s="20"/>
      <c r="I12" s="20"/>
      <c r="K12" s="19"/>
      <c r="L12" s="15"/>
    </row>
    <row r="13" spans="2:12" ht="29.25" customHeight="1" x14ac:dyDescent="0.25">
      <c r="B13" s="9" t="s">
        <v>5</v>
      </c>
      <c r="C13" s="4" t="s">
        <v>15</v>
      </c>
      <c r="D13" s="12"/>
      <c r="E13" s="1" t="str">
        <f>IF(D13="","*",1)</f>
        <v>*</v>
      </c>
      <c r="G13" s="20"/>
      <c r="H13" s="20"/>
      <c r="I13" s="20"/>
      <c r="K13" s="19"/>
      <c r="L13" s="15" t="b">
        <f>AND(L5=10,L9=TRUE)</f>
        <v>0</v>
      </c>
    </row>
    <row r="14" spans="2:12" ht="7.5" customHeight="1" x14ac:dyDescent="0.25">
      <c r="G14" s="20"/>
      <c r="H14" s="20"/>
      <c r="I14" s="20"/>
      <c r="K14" s="19"/>
      <c r="L14" s="15"/>
    </row>
    <row r="15" spans="2:12" ht="29.25" customHeight="1" x14ac:dyDescent="0.25">
      <c r="B15" s="9" t="s">
        <v>6</v>
      </c>
      <c r="C15" s="4" t="s">
        <v>15</v>
      </c>
      <c r="D15" s="12"/>
      <c r="E15" s="1" t="str">
        <f>IF(D15="","*",1)</f>
        <v>*</v>
      </c>
      <c r="G15" s="20"/>
      <c r="H15" s="20"/>
      <c r="I15" s="20"/>
      <c r="K15" s="19"/>
      <c r="L15" s="15"/>
    </row>
    <row r="16" spans="2:12" ht="7.5" customHeight="1" x14ac:dyDescent="0.25">
      <c r="K16" s="19"/>
      <c r="L16" s="15"/>
    </row>
    <row r="17" spans="1:12" ht="29.25" customHeight="1" x14ac:dyDescent="0.25">
      <c r="B17" s="9" t="s">
        <v>7</v>
      </c>
      <c r="C17" s="4" t="s">
        <v>15</v>
      </c>
      <c r="D17" s="12"/>
      <c r="E17" s="1" t="str">
        <f>IF(D17="","*",1)</f>
        <v>*</v>
      </c>
      <c r="K17" s="19"/>
      <c r="L17" s="15" t="str">
        <f>IF((L5=10)*AND(L13=TRUE),"True","False")</f>
        <v>False</v>
      </c>
    </row>
    <row r="18" spans="1:12" x14ac:dyDescent="0.25">
      <c r="K18" s="19"/>
    </row>
    <row r="19" spans="1:12" x14ac:dyDescent="0.25">
      <c r="K19" s="19"/>
    </row>
    <row r="20" spans="1:12" x14ac:dyDescent="0.25">
      <c r="K20" s="19"/>
    </row>
    <row r="21" spans="1:12" x14ac:dyDescent="0.25">
      <c r="K21" s="19"/>
    </row>
    <row r="22" spans="1:12" x14ac:dyDescent="0.25">
      <c r="K22" s="19"/>
    </row>
    <row r="23" spans="1:12" x14ac:dyDescent="0.25">
      <c r="K23" s="19"/>
    </row>
    <row r="24" spans="1:12" x14ac:dyDescent="0.25">
      <c r="K24" s="19"/>
    </row>
    <row r="25" spans="1:12" x14ac:dyDescent="0.25">
      <c r="K25" s="19"/>
    </row>
    <row r="26" spans="1:12" x14ac:dyDescent="0.25">
      <c r="K26" s="19"/>
    </row>
    <row r="27" spans="1:12" x14ac:dyDescent="0.25">
      <c r="K27" s="19"/>
    </row>
    <row r="28" spans="1:12" x14ac:dyDescent="0.25">
      <c r="K28" s="19"/>
    </row>
    <row r="29" spans="1:12" x14ac:dyDescent="0.25">
      <c r="K29" s="19"/>
    </row>
    <row r="30" spans="1:12" x14ac:dyDescent="0.25">
      <c r="K30" s="19"/>
    </row>
    <row r="31" spans="1:12" s="18" customFormat="1" x14ac:dyDescent="0.25">
      <c r="A31" s="19"/>
      <c r="B31" s="19"/>
      <c r="C31" s="19"/>
      <c r="D31" s="19"/>
      <c r="E31" s="19"/>
      <c r="F31" s="19"/>
      <c r="G31" s="19"/>
      <c r="H31" s="19"/>
      <c r="I31" s="19"/>
      <c r="J31" s="19"/>
      <c r="K31" s="19"/>
    </row>
    <row r="32" spans="1:12" hidden="1" x14ac:dyDescent="0.25"/>
    <row r="33" spans="1:11" hidden="1" x14ac:dyDescent="0.25">
      <c r="A33" s="9" t="s">
        <v>0</v>
      </c>
      <c r="B33" s="9" t="s">
        <v>1</v>
      </c>
      <c r="C33" s="9" t="s">
        <v>2</v>
      </c>
      <c r="D33" s="9" t="s">
        <v>3</v>
      </c>
      <c r="E33" s="9" t="s">
        <v>4</v>
      </c>
      <c r="F33" s="9" t="s">
        <v>5</v>
      </c>
      <c r="G33" s="9" t="s">
        <v>6</v>
      </c>
      <c r="H33" s="9" t="s">
        <v>7</v>
      </c>
      <c r="I33" s="9" t="s">
        <v>8</v>
      </c>
      <c r="J33" s="9" t="s">
        <v>9</v>
      </c>
      <c r="K33" s="9" t="s">
        <v>18</v>
      </c>
    </row>
    <row r="34" spans="1:11" hidden="1" x14ac:dyDescent="0.25">
      <c r="A34" s="10">
        <f>D3</f>
        <v>0</v>
      </c>
      <c r="B34" s="10">
        <f>D5</f>
        <v>0</v>
      </c>
      <c r="C34" s="10" t="str">
        <f>IF(L7=1,"Male","Female")</f>
        <v>Male</v>
      </c>
      <c r="D34" s="10">
        <f>D9</f>
        <v>0</v>
      </c>
      <c r="E34" s="10">
        <f>D11</f>
        <v>0</v>
      </c>
      <c r="F34" s="10">
        <f>D13</f>
        <v>0</v>
      </c>
      <c r="G34" s="10">
        <f>D15</f>
        <v>0</v>
      </c>
      <c r="H34" s="11">
        <f>D17</f>
        <v>0</v>
      </c>
      <c r="I34" s="11">
        <f>I3</f>
        <v>0</v>
      </c>
      <c r="J34" s="10">
        <f>I5</f>
        <v>0</v>
      </c>
      <c r="K34" s="10">
        <f>I7</f>
        <v>0</v>
      </c>
    </row>
  </sheetData>
  <mergeCells count="1">
    <mergeCell ref="G10:I15"/>
  </mergeCells>
  <conditionalFormatting sqref="D3 D5 D9 D11 D13 D15 D17 I3 I5">
    <cfRule type="containsBlanks" dxfId="2" priority="4">
      <formula>LEN(TRIM(D3))=0</formula>
    </cfRule>
  </conditionalFormatting>
  <conditionalFormatting sqref="I7">
    <cfRule type="containsBlanks" dxfId="1" priority="1">
      <formula>LEN(TRIM(I7))=0</formula>
    </cfRule>
  </conditionalFormatting>
  <dataValidations count="2">
    <dataValidation type="list" allowBlank="1" showInputMessage="1" showErrorMessage="1" sqref="D11" xr:uid="{73B84AAE-5C97-4C22-A73F-1A0A35161F5A}">
      <formula1>"Nashik, Pune, Mumbai, Dehli, Nagpur"</formula1>
    </dataValidation>
    <dataValidation type="list" allowBlank="1" showInputMessage="1" showErrorMessage="1" sqref="D13" xr:uid="{2CB43E39-E7B5-413A-A2C4-9F7A427DEB86}">
      <formula1>"Maharashtra, Gujarat, Dehli, UP, MP, Punjab"</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Option Button 1">
              <controlPr defaultSize="0" autoFill="0" autoLine="0" autoPict="0">
                <anchor moveWithCells="1">
                  <from>
                    <xdr:col>3</xdr:col>
                    <xdr:colOff>171450</xdr:colOff>
                    <xdr:row>6</xdr:row>
                    <xdr:rowOff>104775</xdr:rowOff>
                  </from>
                  <to>
                    <xdr:col>3</xdr:col>
                    <xdr:colOff>1009650</xdr:colOff>
                    <xdr:row>6</xdr:row>
                    <xdr:rowOff>323850</xdr:rowOff>
                  </to>
                </anchor>
              </controlPr>
            </control>
          </mc:Choice>
        </mc:AlternateContent>
        <mc:AlternateContent xmlns:mc="http://schemas.openxmlformats.org/markup-compatibility/2006">
          <mc:Choice Requires="x14">
            <control shapeId="1026" r:id="rId5" name="Option Button 2">
              <controlPr defaultSize="0" autoFill="0" autoLine="0" autoPict="0">
                <anchor moveWithCells="1">
                  <from>
                    <xdr:col>3</xdr:col>
                    <xdr:colOff>1285875</xdr:colOff>
                    <xdr:row>6</xdr:row>
                    <xdr:rowOff>104775</xdr:rowOff>
                  </from>
                  <to>
                    <xdr:col>3</xdr:col>
                    <xdr:colOff>2124075</xdr:colOff>
                    <xdr:row>6</xdr:row>
                    <xdr:rowOff>323850</xdr:rowOff>
                  </to>
                </anchor>
              </controlPr>
            </control>
          </mc:Choice>
        </mc:AlternateContent>
        <mc:AlternateContent xmlns:mc="http://schemas.openxmlformats.org/markup-compatibility/2006">
          <mc:Choice Requires="x14">
            <control shapeId="1027" r:id="rId6" name="Check Box 3">
              <controlPr defaultSize="0" autoFill="0" autoLine="0" autoPict="0">
                <anchor moveWithCells="1">
                  <from>
                    <xdr:col>5</xdr:col>
                    <xdr:colOff>342900</xdr:colOff>
                    <xdr:row>8</xdr:row>
                    <xdr:rowOff>47625</xdr:rowOff>
                  </from>
                  <to>
                    <xdr:col>8</xdr:col>
                    <xdr:colOff>304800</xdr:colOff>
                    <xdr:row>8</xdr:row>
                    <xdr:rowOff>352425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iconSet" priority="6" id="{356D56A1-14EC-4B51-B480-BC4C279DEB36}">
            <x14:iconSet showValue="0" custom="1">
              <x14:cfvo type="percent">
                <xm:f>0</xm:f>
              </x14:cfvo>
              <x14:cfvo type="percent" gte="0">
                <xm:f>1</xm:f>
              </x14:cfvo>
              <x14:cfvo type="num">
                <xm:f>1</xm:f>
              </x14:cfvo>
              <x14:cfIcon iconSet="NoIcons" iconId="0"/>
              <x14:cfIcon iconSet="NoIcons" iconId="0"/>
              <x14:cfIcon iconSet="3Symbols2" iconId="2"/>
            </x14:iconSet>
          </x14:cfRule>
          <xm:sqref>J5 J3 E3 E5 E11 E13 E15 E17 E9:F9</xm:sqref>
        </x14:conditionalFormatting>
        <x14:conditionalFormatting xmlns:xm="http://schemas.microsoft.com/office/excel/2006/main">
          <x14:cfRule type="iconSet" priority="3" id="{970D4899-B4D8-4982-B136-213D66A33CC1}">
            <x14:iconSet showValue="0" custom="1">
              <x14:cfvo type="percent">
                <xm:f>0</xm:f>
              </x14:cfvo>
              <x14:cfvo type="percent" gte="0">
                <xm:f>1</xm:f>
              </x14:cfvo>
              <x14:cfvo type="num">
                <xm:f>1</xm:f>
              </x14:cfvo>
              <x14:cfIcon iconSet="NoIcons" iconId="0"/>
              <x14:cfIcon iconSet="NoIcons" iconId="0"/>
              <x14:cfIcon iconSet="3Symbols2" iconId="2"/>
            </x14:iconSet>
          </x14:cfRule>
          <xm:sqref>I9</xm:sqref>
        </x14:conditionalFormatting>
        <x14:conditionalFormatting xmlns:xm="http://schemas.microsoft.com/office/excel/2006/main">
          <x14:cfRule type="iconSet" priority="2" id="{5A2F346A-E13E-462C-BA23-E6A81638160C}">
            <x14:iconSet showValue="0" custom="1">
              <x14:cfvo type="percent">
                <xm:f>0</xm:f>
              </x14:cfvo>
              <x14:cfvo type="percent" gte="0">
                <xm:f>1</xm:f>
              </x14:cfvo>
              <x14:cfvo type="num">
                <xm:f>1</xm:f>
              </x14:cfvo>
              <x14:cfIcon iconSet="NoIcons" iconId="0"/>
              <x14:cfIcon iconSet="NoIcons" iconId="0"/>
              <x14:cfIcon iconSet="3Symbols2" iconId="2"/>
            </x14:iconSet>
          </x14:cfRule>
          <xm:sqref>J7</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D46B49-D624-4A0F-83BC-E89226C7E6C9}">
  <sheetPr codeName="Sheet2"/>
  <dimension ref="A1:K25"/>
  <sheetViews>
    <sheetView workbookViewId="0">
      <selection activeCell="D26" sqref="D26"/>
    </sheetView>
  </sheetViews>
  <sheetFormatPr defaultRowHeight="15" x14ac:dyDescent="0.25"/>
  <cols>
    <col min="1" max="1" width="20.5703125" customWidth="1"/>
    <col min="2" max="2" width="21.5703125" customWidth="1"/>
    <col min="3" max="3" width="9.42578125" customWidth="1"/>
    <col min="4" max="4" width="29.85546875" customWidth="1"/>
    <col min="5" max="5" width="7.28515625" bestFit="1" customWidth="1"/>
    <col min="6" max="6" width="12.42578125" bestFit="1" customWidth="1"/>
    <col min="7" max="7" width="7" bestFit="1" customWidth="1"/>
    <col min="8" max="8" width="11" bestFit="1" customWidth="1"/>
    <col min="9" max="9" width="15.7109375" customWidth="1"/>
    <col min="10" max="10" width="19" customWidth="1"/>
    <col min="11" max="11" width="25" bestFit="1" customWidth="1"/>
  </cols>
  <sheetData>
    <row r="1" spans="1:11" x14ac:dyDescent="0.25">
      <c r="A1" s="9" t="s">
        <v>0</v>
      </c>
      <c r="B1" s="9" t="s">
        <v>1</v>
      </c>
      <c r="C1" s="9" t="s">
        <v>2</v>
      </c>
      <c r="D1" s="9" t="s">
        <v>3</v>
      </c>
      <c r="E1" s="9" t="s">
        <v>4</v>
      </c>
      <c r="F1" s="9" t="s">
        <v>5</v>
      </c>
      <c r="G1" s="9" t="s">
        <v>6</v>
      </c>
      <c r="H1" s="9" t="s">
        <v>7</v>
      </c>
      <c r="I1" s="9" t="s">
        <v>8</v>
      </c>
      <c r="J1" s="9" t="s">
        <v>9</v>
      </c>
      <c r="K1" s="9" t="s">
        <v>18</v>
      </c>
    </row>
    <row r="2" spans="1:11" x14ac:dyDescent="0.25">
      <c r="A2" t="s">
        <v>11</v>
      </c>
      <c r="B2" t="s">
        <v>12</v>
      </c>
      <c r="C2" t="s">
        <v>10</v>
      </c>
      <c r="D2" t="s">
        <v>19</v>
      </c>
      <c r="E2" t="s">
        <v>13</v>
      </c>
      <c r="F2" t="s">
        <v>14</v>
      </c>
      <c r="G2">
        <v>422012</v>
      </c>
      <c r="H2">
        <v>8484838151</v>
      </c>
      <c r="I2" s="6">
        <v>45471</v>
      </c>
      <c r="J2" t="s">
        <v>17</v>
      </c>
      <c r="K2" t="s">
        <v>20</v>
      </c>
    </row>
    <row r="3" spans="1:11" x14ac:dyDescent="0.25">
      <c r="A3" t="s">
        <v>11</v>
      </c>
      <c r="B3" t="s">
        <v>12</v>
      </c>
      <c r="C3" t="s">
        <v>10</v>
      </c>
      <c r="D3" t="s">
        <v>22</v>
      </c>
      <c r="E3" t="s">
        <v>13</v>
      </c>
      <c r="F3" t="s">
        <v>14</v>
      </c>
      <c r="G3">
        <v>422012</v>
      </c>
      <c r="H3">
        <v>8484838151</v>
      </c>
      <c r="I3" s="6">
        <v>45471</v>
      </c>
      <c r="J3" t="s">
        <v>17</v>
      </c>
      <c r="K3" t="s">
        <v>20</v>
      </c>
    </row>
    <row r="4" spans="1:11" x14ac:dyDescent="0.25">
      <c r="A4" t="s">
        <v>11</v>
      </c>
      <c r="B4" t="s">
        <v>23</v>
      </c>
      <c r="C4" t="s">
        <v>10</v>
      </c>
      <c r="D4" t="s">
        <v>24</v>
      </c>
      <c r="E4" t="s">
        <v>13</v>
      </c>
      <c r="F4" t="s">
        <v>14</v>
      </c>
      <c r="G4">
        <v>422012</v>
      </c>
      <c r="H4">
        <v>8484838151</v>
      </c>
      <c r="I4">
        <v>45473</v>
      </c>
      <c r="J4" t="s">
        <v>17</v>
      </c>
      <c r="K4" t="s">
        <v>20</v>
      </c>
    </row>
    <row r="5" spans="1:11" x14ac:dyDescent="0.25">
      <c r="A5" t="s">
        <v>26</v>
      </c>
      <c r="B5" t="s">
        <v>12</v>
      </c>
      <c r="C5" t="s">
        <v>10</v>
      </c>
      <c r="D5" t="s">
        <v>28</v>
      </c>
      <c r="E5" t="s">
        <v>13</v>
      </c>
      <c r="F5" t="s">
        <v>14</v>
      </c>
      <c r="G5">
        <v>422012</v>
      </c>
      <c r="H5">
        <v>8975744828</v>
      </c>
      <c r="I5">
        <v>45473</v>
      </c>
      <c r="J5" t="s">
        <v>27</v>
      </c>
      <c r="K5" t="s">
        <v>20</v>
      </c>
    </row>
    <row r="6" spans="1:11" x14ac:dyDescent="0.25">
      <c r="A6" t="s">
        <v>29</v>
      </c>
      <c r="B6" t="s">
        <v>30</v>
      </c>
      <c r="C6" t="s">
        <v>10</v>
      </c>
      <c r="D6" t="s">
        <v>19</v>
      </c>
      <c r="E6" t="s">
        <v>13</v>
      </c>
      <c r="F6" t="s">
        <v>14</v>
      </c>
      <c r="G6">
        <v>422012</v>
      </c>
      <c r="H6">
        <v>8484838151</v>
      </c>
      <c r="I6">
        <v>45473</v>
      </c>
      <c r="J6" t="s">
        <v>17</v>
      </c>
      <c r="K6" t="s">
        <v>20</v>
      </c>
    </row>
    <row r="7" spans="1:11" x14ac:dyDescent="0.25">
      <c r="A7" t="s">
        <v>31</v>
      </c>
      <c r="B7" t="s">
        <v>31</v>
      </c>
      <c r="C7" t="s">
        <v>10</v>
      </c>
      <c r="D7" t="s">
        <v>31</v>
      </c>
      <c r="E7" t="s">
        <v>32</v>
      </c>
      <c r="F7" t="s">
        <v>33</v>
      </c>
      <c r="G7" t="s">
        <v>31</v>
      </c>
      <c r="H7" t="s">
        <v>31</v>
      </c>
      <c r="I7">
        <v>45473</v>
      </c>
      <c r="J7" t="s">
        <v>31</v>
      </c>
      <c r="K7" t="s">
        <v>20</v>
      </c>
    </row>
    <row r="8" spans="1:11" x14ac:dyDescent="0.25">
      <c r="A8" t="s">
        <v>31</v>
      </c>
      <c r="B8" t="s">
        <v>31</v>
      </c>
      <c r="C8" t="s">
        <v>10</v>
      </c>
      <c r="D8" t="s">
        <v>31</v>
      </c>
      <c r="E8" t="s">
        <v>32</v>
      </c>
      <c r="F8" t="s">
        <v>34</v>
      </c>
      <c r="G8" t="s">
        <v>31</v>
      </c>
      <c r="H8" t="s">
        <v>31</v>
      </c>
      <c r="I8">
        <v>45473</v>
      </c>
      <c r="J8" t="s">
        <v>31</v>
      </c>
      <c r="K8" t="s">
        <v>20</v>
      </c>
    </row>
    <row r="9" spans="1:11" x14ac:dyDescent="0.25">
      <c r="A9" t="s">
        <v>31</v>
      </c>
      <c r="B9" t="s">
        <v>31</v>
      </c>
      <c r="C9" t="s">
        <v>10</v>
      </c>
      <c r="D9" t="s">
        <v>31</v>
      </c>
      <c r="E9" t="s">
        <v>32</v>
      </c>
      <c r="F9" t="s">
        <v>36</v>
      </c>
      <c r="G9" t="s">
        <v>31</v>
      </c>
      <c r="H9" t="s">
        <v>31</v>
      </c>
      <c r="I9">
        <v>45473</v>
      </c>
      <c r="J9" t="s">
        <v>31</v>
      </c>
      <c r="K9" t="s">
        <v>35</v>
      </c>
    </row>
    <row r="10" spans="1:11" x14ac:dyDescent="0.25">
      <c r="A10" t="s">
        <v>31</v>
      </c>
      <c r="B10" t="s">
        <v>31</v>
      </c>
      <c r="C10" t="s">
        <v>10</v>
      </c>
      <c r="D10" t="s">
        <v>31</v>
      </c>
      <c r="E10" t="s">
        <v>32</v>
      </c>
      <c r="F10" t="s">
        <v>36</v>
      </c>
      <c r="G10" t="s">
        <v>31</v>
      </c>
      <c r="H10" t="s">
        <v>31</v>
      </c>
      <c r="I10">
        <v>45473</v>
      </c>
      <c r="J10" t="s">
        <v>31</v>
      </c>
      <c r="K10" t="s">
        <v>20</v>
      </c>
    </row>
    <row r="11" spans="1:11" x14ac:dyDescent="0.25">
      <c r="A11" t="s">
        <v>31</v>
      </c>
      <c r="B11" t="s">
        <v>31</v>
      </c>
      <c r="C11" t="s">
        <v>10</v>
      </c>
      <c r="D11" t="s">
        <v>31</v>
      </c>
      <c r="E11" t="s">
        <v>37</v>
      </c>
      <c r="F11" t="s">
        <v>33</v>
      </c>
      <c r="G11" t="s">
        <v>31</v>
      </c>
      <c r="H11" t="s">
        <v>31</v>
      </c>
      <c r="I11">
        <v>45473</v>
      </c>
      <c r="J11" t="s">
        <v>31</v>
      </c>
      <c r="K11" t="s">
        <v>20</v>
      </c>
    </row>
    <row r="12" spans="1:11" x14ac:dyDescent="0.25">
      <c r="A12" t="s">
        <v>31</v>
      </c>
      <c r="B12" t="s">
        <v>31</v>
      </c>
      <c r="C12" t="s">
        <v>10</v>
      </c>
      <c r="D12" t="s">
        <v>31</v>
      </c>
      <c r="E12" t="s">
        <v>37</v>
      </c>
      <c r="F12" t="s">
        <v>36</v>
      </c>
      <c r="G12" t="s">
        <v>31</v>
      </c>
      <c r="H12" t="s">
        <v>31</v>
      </c>
      <c r="I12">
        <v>45473</v>
      </c>
      <c r="J12" t="s">
        <v>31</v>
      </c>
      <c r="K12" t="s">
        <v>20</v>
      </c>
    </row>
    <row r="13" spans="1:11" x14ac:dyDescent="0.25">
      <c r="A13" t="s">
        <v>31</v>
      </c>
      <c r="B13" t="s">
        <v>31</v>
      </c>
      <c r="C13" t="s">
        <v>10</v>
      </c>
      <c r="D13" t="s">
        <v>31</v>
      </c>
      <c r="E13" t="s">
        <v>33</v>
      </c>
      <c r="F13" t="s">
        <v>33</v>
      </c>
      <c r="G13" t="s">
        <v>31</v>
      </c>
      <c r="H13" t="s">
        <v>31</v>
      </c>
      <c r="I13">
        <v>45473</v>
      </c>
      <c r="J13" t="s">
        <v>31</v>
      </c>
      <c r="K13" t="s">
        <v>20</v>
      </c>
    </row>
    <row r="14" spans="1:11" x14ac:dyDescent="0.25">
      <c r="A14" t="s">
        <v>31</v>
      </c>
      <c r="B14" t="s">
        <v>31</v>
      </c>
      <c r="C14" t="s">
        <v>10</v>
      </c>
      <c r="D14" t="s">
        <v>31</v>
      </c>
      <c r="E14" t="s">
        <v>37</v>
      </c>
      <c r="F14" t="s">
        <v>36</v>
      </c>
      <c r="G14" t="s">
        <v>31</v>
      </c>
      <c r="H14" t="s">
        <v>31</v>
      </c>
      <c r="I14">
        <v>45473</v>
      </c>
      <c r="J14" t="s">
        <v>31</v>
      </c>
      <c r="K14" t="s">
        <v>20</v>
      </c>
    </row>
    <row r="15" spans="1:11" x14ac:dyDescent="0.25">
      <c r="A15" t="s">
        <v>31</v>
      </c>
      <c r="B15" t="s">
        <v>31</v>
      </c>
      <c r="C15" t="s">
        <v>10</v>
      </c>
      <c r="D15" t="s">
        <v>31</v>
      </c>
      <c r="E15" t="s">
        <v>13</v>
      </c>
      <c r="F15" t="s">
        <v>33</v>
      </c>
      <c r="G15" t="s">
        <v>31</v>
      </c>
      <c r="H15" t="s">
        <v>31</v>
      </c>
      <c r="I15">
        <v>45473</v>
      </c>
      <c r="J15" t="s">
        <v>31</v>
      </c>
      <c r="K15" t="s">
        <v>20</v>
      </c>
    </row>
    <row r="16" spans="1:11" x14ac:dyDescent="0.25">
      <c r="A16" t="s">
        <v>31</v>
      </c>
      <c r="B16" t="s">
        <v>31</v>
      </c>
      <c r="C16" t="s">
        <v>10</v>
      </c>
      <c r="D16" t="s">
        <v>31</v>
      </c>
      <c r="E16" t="s">
        <v>13</v>
      </c>
      <c r="F16" t="s">
        <v>33</v>
      </c>
      <c r="G16" t="s">
        <v>31</v>
      </c>
      <c r="H16" t="s">
        <v>31</v>
      </c>
      <c r="I16">
        <v>45473</v>
      </c>
      <c r="J16" t="s">
        <v>31</v>
      </c>
      <c r="K16" t="s">
        <v>20</v>
      </c>
    </row>
    <row r="17" spans="1:11" x14ac:dyDescent="0.25">
      <c r="A17" t="s">
        <v>31</v>
      </c>
      <c r="B17" t="s">
        <v>31</v>
      </c>
      <c r="C17" t="s">
        <v>10</v>
      </c>
      <c r="D17" t="s">
        <v>31</v>
      </c>
      <c r="E17" t="s">
        <v>13</v>
      </c>
      <c r="F17" t="s">
        <v>33</v>
      </c>
      <c r="G17" t="s">
        <v>31</v>
      </c>
      <c r="H17" t="s">
        <v>31</v>
      </c>
      <c r="I17">
        <v>45473</v>
      </c>
      <c r="J17" t="s">
        <v>31</v>
      </c>
      <c r="K17" t="s">
        <v>20</v>
      </c>
    </row>
    <row r="18" spans="1:11" x14ac:dyDescent="0.25">
      <c r="A18" t="s">
        <v>31</v>
      </c>
      <c r="B18" t="s">
        <v>31</v>
      </c>
      <c r="C18" t="s">
        <v>10</v>
      </c>
      <c r="D18" t="s">
        <v>31</v>
      </c>
      <c r="E18" t="s">
        <v>13</v>
      </c>
      <c r="F18" t="s">
        <v>33</v>
      </c>
      <c r="G18" t="s">
        <v>31</v>
      </c>
      <c r="H18" t="s">
        <v>31</v>
      </c>
      <c r="I18">
        <v>45473</v>
      </c>
      <c r="J18" t="s">
        <v>31</v>
      </c>
      <c r="K18" t="s">
        <v>20</v>
      </c>
    </row>
    <row r="19" spans="1:11" x14ac:dyDescent="0.25">
      <c r="A19" t="s">
        <v>31</v>
      </c>
      <c r="B19" t="s">
        <v>31</v>
      </c>
      <c r="C19" t="s">
        <v>10</v>
      </c>
      <c r="D19" t="s">
        <v>31</v>
      </c>
      <c r="E19" t="s">
        <v>13</v>
      </c>
      <c r="F19" t="s">
        <v>33</v>
      </c>
      <c r="G19" t="s">
        <v>31</v>
      </c>
      <c r="H19" t="s">
        <v>31</v>
      </c>
      <c r="I19">
        <v>45473</v>
      </c>
      <c r="J19" t="s">
        <v>31</v>
      </c>
      <c r="K19" t="s">
        <v>20</v>
      </c>
    </row>
    <row r="20" spans="1:11" x14ac:dyDescent="0.25">
      <c r="A20" t="s">
        <v>31</v>
      </c>
      <c r="B20" t="s">
        <v>31</v>
      </c>
      <c r="C20" t="s">
        <v>10</v>
      </c>
      <c r="D20" t="s">
        <v>31</v>
      </c>
      <c r="E20" t="s">
        <v>13</v>
      </c>
      <c r="F20" t="s">
        <v>33</v>
      </c>
      <c r="G20" t="s">
        <v>31</v>
      </c>
      <c r="H20" t="s">
        <v>31</v>
      </c>
      <c r="I20">
        <v>45473</v>
      </c>
      <c r="J20" t="s">
        <v>31</v>
      </c>
      <c r="K20" t="s">
        <v>20</v>
      </c>
    </row>
    <row r="21" spans="1:11" x14ac:dyDescent="0.25">
      <c r="A21" t="s">
        <v>31</v>
      </c>
      <c r="B21" t="s">
        <v>31</v>
      </c>
      <c r="C21" t="s">
        <v>10</v>
      </c>
      <c r="D21" t="s">
        <v>31</v>
      </c>
      <c r="E21" t="s">
        <v>13</v>
      </c>
      <c r="F21" t="s">
        <v>33</v>
      </c>
      <c r="G21" t="s">
        <v>31</v>
      </c>
      <c r="H21" t="s">
        <v>31</v>
      </c>
      <c r="I21">
        <v>45473</v>
      </c>
      <c r="J21" t="s">
        <v>31</v>
      </c>
      <c r="K21" t="s">
        <v>20</v>
      </c>
    </row>
    <row r="22" spans="1:11" x14ac:dyDescent="0.25">
      <c r="A22" t="s">
        <v>31</v>
      </c>
      <c r="B22" t="s">
        <v>31</v>
      </c>
      <c r="C22" t="s">
        <v>10</v>
      </c>
      <c r="D22" t="s">
        <v>31</v>
      </c>
      <c r="E22" t="s">
        <v>13</v>
      </c>
      <c r="F22" t="s">
        <v>33</v>
      </c>
      <c r="G22" t="s">
        <v>31</v>
      </c>
      <c r="H22" t="s">
        <v>31</v>
      </c>
      <c r="I22">
        <v>45473</v>
      </c>
      <c r="J22" t="s">
        <v>31</v>
      </c>
      <c r="K22" t="s">
        <v>20</v>
      </c>
    </row>
    <row r="23" spans="1:11" x14ac:dyDescent="0.25">
      <c r="A23" t="s">
        <v>31</v>
      </c>
      <c r="B23" t="s">
        <v>31</v>
      </c>
      <c r="C23" t="s">
        <v>10</v>
      </c>
      <c r="D23" t="s">
        <v>31</v>
      </c>
      <c r="E23" t="s">
        <v>37</v>
      </c>
      <c r="F23" t="s">
        <v>33</v>
      </c>
      <c r="G23" t="s">
        <v>31</v>
      </c>
      <c r="H23" t="s">
        <v>31</v>
      </c>
      <c r="I23">
        <v>45473</v>
      </c>
      <c r="J23" t="s">
        <v>31</v>
      </c>
      <c r="K23" t="s">
        <v>20</v>
      </c>
    </row>
    <row r="24" spans="1:11" x14ac:dyDescent="0.25">
      <c r="A24" t="s">
        <v>31</v>
      </c>
      <c r="B24" t="s">
        <v>31</v>
      </c>
      <c r="C24" t="s">
        <v>10</v>
      </c>
      <c r="D24" t="s">
        <v>31</v>
      </c>
      <c r="E24" t="s">
        <v>33</v>
      </c>
      <c r="F24" t="s">
        <v>36</v>
      </c>
      <c r="G24" t="s">
        <v>31</v>
      </c>
      <c r="H24" t="s">
        <v>31</v>
      </c>
      <c r="I24" s="17">
        <v>45473</v>
      </c>
      <c r="J24" t="s">
        <v>31</v>
      </c>
      <c r="K24" t="s">
        <v>20</v>
      </c>
    </row>
    <row r="25" spans="1:11" x14ac:dyDescent="0.25">
      <c r="A25" t="s">
        <v>11</v>
      </c>
      <c r="B25" t="s">
        <v>38</v>
      </c>
      <c r="C25" t="s">
        <v>10</v>
      </c>
      <c r="D25" t="s">
        <v>24</v>
      </c>
      <c r="E25" t="s">
        <v>13</v>
      </c>
      <c r="F25" t="s">
        <v>14</v>
      </c>
      <c r="G25">
        <v>422012</v>
      </c>
      <c r="H25">
        <v>8484838151</v>
      </c>
      <c r="I25" s="17">
        <v>45473</v>
      </c>
      <c r="J25" t="s">
        <v>17</v>
      </c>
      <c r="K25" t="s">
        <v>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B8B55-EF0A-4ACE-B3B3-337ABB7DAF00}">
  <sheetPr codeName="Sheet3"/>
  <dimension ref="B2:C2"/>
  <sheetViews>
    <sheetView workbookViewId="0">
      <selection activeCell="G17" sqref="G17"/>
    </sheetView>
  </sheetViews>
  <sheetFormatPr defaultRowHeight="15" x14ac:dyDescent="0.25"/>
  <cols>
    <col min="2" max="2" width="11.7109375" customWidth="1"/>
    <col min="3" max="3" width="30.7109375" customWidth="1"/>
  </cols>
  <sheetData>
    <row r="2" spans="2:3" ht="38.25" customHeight="1" x14ac:dyDescent="0.25">
      <c r="B2" s="9" t="s">
        <v>25</v>
      </c>
      <c r="C2" s="14"/>
    </row>
  </sheetData>
  <conditionalFormatting sqref="C2">
    <cfRule type="containsBlanks" dxfId="0" priority="1">
      <formula>LEN(TRIM(C2))=0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Mail_Practice">
                <anchor moveWithCells="1" sizeWithCells="1">
                  <from>
                    <xdr:col>2</xdr:col>
                    <xdr:colOff>314325</xdr:colOff>
                    <xdr:row>4</xdr:row>
                    <xdr:rowOff>104775</xdr:rowOff>
                  </from>
                  <to>
                    <xdr:col>2</xdr:col>
                    <xdr:colOff>1809750</xdr:colOff>
                    <xdr:row>6</xdr:row>
                    <xdr:rowOff>123825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723092-D5FA-4510-86D2-09FDEFC99AEA}">
  <sheetPr codeName="Sheet4"/>
  <dimension ref="A2:A106"/>
  <sheetViews>
    <sheetView topLeftCell="A7" workbookViewId="0">
      <selection activeCell="A22" sqref="A22"/>
    </sheetView>
  </sheetViews>
  <sheetFormatPr defaultRowHeight="15" x14ac:dyDescent="0.25"/>
  <cols>
    <col min="1" max="1" width="87.28515625" customWidth="1"/>
  </cols>
  <sheetData>
    <row r="2" spans="1:1" x14ac:dyDescent="0.25">
      <c r="A2" s="21" t="s">
        <v>39</v>
      </c>
    </row>
    <row r="3" spans="1:1" x14ac:dyDescent="0.25">
      <c r="A3" t="s">
        <v>40</v>
      </c>
    </row>
    <row r="4" spans="1:1" x14ac:dyDescent="0.25">
      <c r="A4" t="s">
        <v>41</v>
      </c>
    </row>
    <row r="5" spans="1:1" x14ac:dyDescent="0.25">
      <c r="A5" t="s">
        <v>42</v>
      </c>
    </row>
    <row r="6" spans="1:1" x14ac:dyDescent="0.25">
      <c r="A6" t="s">
        <v>43</v>
      </c>
    </row>
    <row r="7" spans="1:1" x14ac:dyDescent="0.25">
      <c r="A7" t="s">
        <v>44</v>
      </c>
    </row>
    <row r="8" spans="1:1" x14ac:dyDescent="0.25">
      <c r="A8" t="s">
        <v>45</v>
      </c>
    </row>
    <row r="9" spans="1:1" x14ac:dyDescent="0.25">
      <c r="A9" t="s">
        <v>40</v>
      </c>
    </row>
    <row r="14" spans="1:1" x14ac:dyDescent="0.25">
      <c r="A14" t="s">
        <v>46</v>
      </c>
    </row>
    <row r="15" spans="1:1" x14ac:dyDescent="0.25">
      <c r="A15" t="s">
        <v>47</v>
      </c>
    </row>
    <row r="16" spans="1:1" x14ac:dyDescent="0.25">
      <c r="A16" t="s">
        <v>48</v>
      </c>
    </row>
    <row r="17" spans="1:1" x14ac:dyDescent="0.25">
      <c r="A17" t="s">
        <v>49</v>
      </c>
    </row>
    <row r="18" spans="1:1" x14ac:dyDescent="0.25">
      <c r="A18" t="s">
        <v>46</v>
      </c>
    </row>
    <row r="20" spans="1:1" x14ac:dyDescent="0.25">
      <c r="A20" t="s">
        <v>50</v>
      </c>
    </row>
    <row r="22" spans="1:1" x14ac:dyDescent="0.25">
      <c r="A22" t="s">
        <v>40</v>
      </c>
    </row>
    <row r="24" spans="1:1" x14ac:dyDescent="0.25">
      <c r="A24" t="s">
        <v>51</v>
      </c>
    </row>
    <row r="25" spans="1:1" x14ac:dyDescent="0.25">
      <c r="A25" t="s">
        <v>52</v>
      </c>
    </row>
    <row r="26" spans="1:1" x14ac:dyDescent="0.25">
      <c r="A26" t="s">
        <v>53</v>
      </c>
    </row>
    <row r="27" spans="1:1" x14ac:dyDescent="0.25">
      <c r="A27" t="s">
        <v>54</v>
      </c>
    </row>
    <row r="28" spans="1:1" x14ac:dyDescent="0.25">
      <c r="A28" t="s">
        <v>55</v>
      </c>
    </row>
    <row r="29" spans="1:1" x14ac:dyDescent="0.25">
      <c r="A29" t="s">
        <v>56</v>
      </c>
    </row>
    <row r="30" spans="1:1" x14ac:dyDescent="0.25">
      <c r="A30" t="s">
        <v>57</v>
      </c>
    </row>
    <row r="32" spans="1:1" x14ac:dyDescent="0.25">
      <c r="A32" t="s">
        <v>58</v>
      </c>
    </row>
    <row r="33" spans="1:1" x14ac:dyDescent="0.25">
      <c r="A33" t="s">
        <v>59</v>
      </c>
    </row>
    <row r="34" spans="1:1" x14ac:dyDescent="0.25">
      <c r="A34" t="s">
        <v>60</v>
      </c>
    </row>
    <row r="35" spans="1:1" x14ac:dyDescent="0.25">
      <c r="A35" t="s">
        <v>61</v>
      </c>
    </row>
    <row r="36" spans="1:1" x14ac:dyDescent="0.25">
      <c r="A36" t="s">
        <v>62</v>
      </c>
    </row>
    <row r="37" spans="1:1" x14ac:dyDescent="0.25">
      <c r="A37" t="s">
        <v>63</v>
      </c>
    </row>
    <row r="38" spans="1:1" x14ac:dyDescent="0.25">
      <c r="A38" t="s">
        <v>64</v>
      </c>
    </row>
    <row r="40" spans="1:1" x14ac:dyDescent="0.25">
      <c r="A40" t="s">
        <v>65</v>
      </c>
    </row>
    <row r="41" spans="1:1" x14ac:dyDescent="0.25">
      <c r="A41" t="s">
        <v>66</v>
      </c>
    </row>
    <row r="42" spans="1:1" x14ac:dyDescent="0.25">
      <c r="A42" t="s">
        <v>67</v>
      </c>
    </row>
    <row r="43" spans="1:1" x14ac:dyDescent="0.25">
      <c r="A43" t="s">
        <v>68</v>
      </c>
    </row>
    <row r="44" spans="1:1" x14ac:dyDescent="0.25">
      <c r="A44" t="s">
        <v>69</v>
      </c>
    </row>
    <row r="46" spans="1:1" x14ac:dyDescent="0.25">
      <c r="A46" t="s">
        <v>70</v>
      </c>
    </row>
    <row r="48" spans="1:1" x14ac:dyDescent="0.25">
      <c r="A48" t="s">
        <v>71</v>
      </c>
    </row>
    <row r="49" spans="1:1" x14ac:dyDescent="0.25">
      <c r="A49" t="s">
        <v>72</v>
      </c>
    </row>
    <row r="50" spans="1:1" x14ac:dyDescent="0.25">
      <c r="A50" t="s">
        <v>73</v>
      </c>
    </row>
    <row r="52" spans="1:1" x14ac:dyDescent="0.25">
      <c r="A52" t="s">
        <v>63</v>
      </c>
    </row>
    <row r="54" spans="1:1" x14ac:dyDescent="0.25">
      <c r="A54" t="s">
        <v>74</v>
      </c>
    </row>
    <row r="55" spans="1:1" x14ac:dyDescent="0.25">
      <c r="A55" t="s">
        <v>75</v>
      </c>
    </row>
    <row r="56" spans="1:1" x14ac:dyDescent="0.25">
      <c r="A56" t="s">
        <v>57</v>
      </c>
    </row>
    <row r="58" spans="1:1" x14ac:dyDescent="0.25">
      <c r="A58" t="s">
        <v>46</v>
      </c>
    </row>
    <row r="60" spans="1:1" x14ac:dyDescent="0.25">
      <c r="A60" t="s">
        <v>76</v>
      </c>
    </row>
    <row r="61" spans="1:1" x14ac:dyDescent="0.25">
      <c r="A61" t="s">
        <v>77</v>
      </c>
    </row>
    <row r="62" spans="1:1" x14ac:dyDescent="0.25">
      <c r="A62" t="s">
        <v>78</v>
      </c>
    </row>
    <row r="63" spans="1:1" x14ac:dyDescent="0.25">
      <c r="A63" t="s">
        <v>79</v>
      </c>
    </row>
    <row r="65" spans="1:1" x14ac:dyDescent="0.25">
      <c r="A65" t="s">
        <v>80</v>
      </c>
    </row>
    <row r="66" spans="1:1" x14ac:dyDescent="0.25">
      <c r="A66" t="s">
        <v>81</v>
      </c>
    </row>
    <row r="67" spans="1:1" x14ac:dyDescent="0.25">
      <c r="A67" t="s">
        <v>53</v>
      </c>
    </row>
    <row r="68" spans="1:1" x14ac:dyDescent="0.25">
      <c r="A68" t="s">
        <v>82</v>
      </c>
    </row>
    <row r="69" spans="1:1" x14ac:dyDescent="0.25">
      <c r="A69" t="s">
        <v>83</v>
      </c>
    </row>
    <row r="70" spans="1:1" x14ac:dyDescent="0.25">
      <c r="A70" t="s">
        <v>84</v>
      </c>
    </row>
    <row r="71" spans="1:1" x14ac:dyDescent="0.25">
      <c r="A71" t="s">
        <v>85</v>
      </c>
    </row>
    <row r="72" spans="1:1" x14ac:dyDescent="0.25">
      <c r="A72" t="s">
        <v>57</v>
      </c>
    </row>
    <row r="74" spans="1:1" x14ac:dyDescent="0.25">
      <c r="A74" t="s">
        <v>86</v>
      </c>
    </row>
    <row r="75" spans="1:1" x14ac:dyDescent="0.25">
      <c r="A75" t="s">
        <v>87</v>
      </c>
    </row>
    <row r="77" spans="1:1" x14ac:dyDescent="0.25">
      <c r="A77" t="s">
        <v>88</v>
      </c>
    </row>
    <row r="78" spans="1:1" x14ac:dyDescent="0.25">
      <c r="A78" t="s">
        <v>89</v>
      </c>
    </row>
    <row r="79" spans="1:1" x14ac:dyDescent="0.25">
      <c r="A79" t="s">
        <v>90</v>
      </c>
    </row>
    <row r="80" spans="1:1" x14ac:dyDescent="0.25">
      <c r="A80" t="s">
        <v>91</v>
      </c>
    </row>
    <row r="82" spans="1:1" x14ac:dyDescent="0.25">
      <c r="A82" t="s">
        <v>92</v>
      </c>
    </row>
    <row r="83" spans="1:1" x14ac:dyDescent="0.25">
      <c r="A83" t="s">
        <v>93</v>
      </c>
    </row>
    <row r="84" spans="1:1" x14ac:dyDescent="0.25">
      <c r="A84" t="s">
        <v>85</v>
      </c>
    </row>
    <row r="85" spans="1:1" x14ac:dyDescent="0.25">
      <c r="A85" t="s">
        <v>57</v>
      </c>
    </row>
    <row r="87" spans="1:1" x14ac:dyDescent="0.25">
      <c r="A87" t="s">
        <v>94</v>
      </c>
    </row>
    <row r="89" spans="1:1" x14ac:dyDescent="0.25">
      <c r="A89" t="s">
        <v>89</v>
      </c>
    </row>
    <row r="90" spans="1:1" x14ac:dyDescent="0.25">
      <c r="A90" t="s">
        <v>95</v>
      </c>
    </row>
    <row r="91" spans="1:1" x14ac:dyDescent="0.25">
      <c r="A91" t="s">
        <v>96</v>
      </c>
    </row>
    <row r="92" spans="1:1" x14ac:dyDescent="0.25">
      <c r="A92" t="s">
        <v>97</v>
      </c>
    </row>
    <row r="93" spans="1:1" x14ac:dyDescent="0.25">
      <c r="A93" t="s">
        <v>98</v>
      </c>
    </row>
    <row r="94" spans="1:1" x14ac:dyDescent="0.25">
      <c r="A94" t="s">
        <v>99</v>
      </c>
    </row>
    <row r="95" spans="1:1" x14ac:dyDescent="0.25">
      <c r="A95" t="s">
        <v>100</v>
      </c>
    </row>
    <row r="96" spans="1:1" x14ac:dyDescent="0.25">
      <c r="A96" t="s">
        <v>101</v>
      </c>
    </row>
    <row r="97" spans="1:1" x14ac:dyDescent="0.25">
      <c r="A97" t="s">
        <v>102</v>
      </c>
    </row>
    <row r="98" spans="1:1" x14ac:dyDescent="0.25">
      <c r="A98" t="s">
        <v>57</v>
      </c>
    </row>
    <row r="99" spans="1:1" x14ac:dyDescent="0.25">
      <c r="A99" t="s">
        <v>91</v>
      </c>
    </row>
    <row r="101" spans="1:1" x14ac:dyDescent="0.25">
      <c r="A101" t="s">
        <v>45</v>
      </c>
    </row>
    <row r="102" spans="1:1" x14ac:dyDescent="0.25">
      <c r="A102" t="s">
        <v>40</v>
      </c>
    </row>
    <row r="106" spans="1:1" x14ac:dyDescent="0.25">
      <c r="A106" t="s">
        <v>46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Form</vt:lpstr>
      <vt:lpstr>Data</vt:lpstr>
      <vt:lpstr>Mail</vt:lpstr>
      <vt:lpstr>VBA Code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Lalit Chaudhari</dc:creator>
  <cp:lastModifiedBy>Lalit Chaudhari</cp:lastModifiedBy>
  <cp:lastPrinted>2024-06-27T10:23:00Z</cp:lastPrinted>
  <dcterms:created xsi:type="dcterms:W3CDTF">2024-06-27T07:08:02Z</dcterms:created>
  <dcterms:modified xsi:type="dcterms:W3CDTF">2024-06-30T15:27:39Z</dcterms:modified>
</cp:coreProperties>
</file>